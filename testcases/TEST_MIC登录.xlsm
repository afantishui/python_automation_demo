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35" windowWidth="28590" windowHeight="7980" tabRatio="460" firstSheet="2" activeTab="6"/>
  </bookViews>
  <sheets>
    <sheet name="配置" sheetId="3" r:id="rId1"/>
    <sheet name="PAGE_登录页面" sheetId="14" r:id="rId2"/>
    <sheet name="PAGE_公共元素" sheetId="15" r:id="rId3"/>
    <sheet name="CASE_登录必填检查" sheetId="16" r:id="rId4"/>
    <sheet name="CASE_登录功能检查" sheetId="17" r:id="rId5"/>
    <sheet name="PAGE_模板" sheetId="6" r:id="rId6"/>
    <sheet name="CASE_模板" sheetId="13" r:id="rId7"/>
  </sheets>
  <definedNames>
    <definedName name="操作列表">OFFSET(配置!$E$3,,,SUMPRODUCT(N(LEN(配置!$E$3:$E$99)&gt;0)),)</definedName>
    <definedName name="页面列表">OFFSET(配置!$B$3,,,SUMPRODUCT(N(LEN(配置!$B$3:$B$99)&gt;0)),)</definedName>
  </definedNames>
  <calcPr calcId="125725"/>
</workbook>
</file>

<file path=xl/calcChain.xml><?xml version="1.0" encoding="utf-8"?>
<calcChain xmlns="http://schemas.openxmlformats.org/spreadsheetml/2006/main">
  <c r="C1" i="17"/>
  <c r="B1"/>
  <c r="C1" i="16"/>
  <c r="B1"/>
  <c r="C1" i="13" l="1"/>
  <c r="B1"/>
  <c r="D1" i="3" l="1"/>
</calcChain>
</file>

<file path=xl/comments1.xml><?xml version="1.0" encoding="utf-8"?>
<comments xmlns="http://schemas.openxmlformats.org/spreadsheetml/2006/main">
  <authors>
    <author>作者</author>
  </authors>
  <commentList>
    <comment ref="E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1、操作为{@param1@}这类，输入值请输入带返回值的js语句
2、操作为call，输入值为步骤名###参数1=参数1值###参数2=参数2值</t>
        </r>
      </text>
    </comment>
    <comment ref="G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1、操作为{@param1@}这类，输入值请输入带返回值的js语句
2、操作为call，输入值为步骤名###参数1=参数1值###参数2=参数2值</t>
        </r>
      </text>
    </comment>
    <comment ref="H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点击此处插入2列，并拷贝前2列的内容，并清除操作及输入值</t>
        </r>
      </text>
    </comment>
    <comment ref="A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点击此处，添加一行作为新的步骤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1、操作为{@param1@}这类，输入值请输入带返回值的js语句
2、操作为call，输入值为步骤名###参数1=参数1值###参数2=参数2值</t>
        </r>
      </text>
    </comment>
    <comment ref="G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1、操作为{@param1@}这类，输入值请输入带返回值的js语句
2、操作为call，输入值为步骤名###参数1=参数1值###参数2=参数2值</t>
        </r>
      </text>
    </comment>
    <comment ref="H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点击此处插入2列，并拷贝前2列的内容，并清除操作及输入值</t>
        </r>
      </text>
    </comment>
    <comment ref="A1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点击此处，添加一行作为新的步骤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E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1、操作为{@param1@}这类，输入值请输入带返回值的js语句
2、操作为call，输入值为步骤名###参数1=参数1值###参数2=参数2值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点击此处插入2列，并拷贝前2列的内容，并清除操作及输入值</t>
        </r>
      </text>
    </comment>
    <comment ref="A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点击此处，添加一行作为新的步骤</t>
        </r>
      </text>
    </comment>
  </commentList>
</comments>
</file>

<file path=xl/sharedStrings.xml><?xml version="1.0" encoding="utf-8"?>
<sst xmlns="http://schemas.openxmlformats.org/spreadsheetml/2006/main" count="187" uniqueCount="115">
  <si>
    <t>元素名称</t>
    <phoneticPr fontId="3" type="noConversion"/>
  </si>
  <si>
    <t>元素xpath</t>
    <phoneticPr fontId="3" type="noConversion"/>
  </si>
  <si>
    <t>序号</t>
    <phoneticPr fontId="3" type="noConversion"/>
  </si>
  <si>
    <t>页面Sheet列表</t>
    <phoneticPr fontId="3" type="noConversion"/>
  </si>
  <si>
    <t>用例Sheet列表</t>
    <phoneticPr fontId="3" type="noConversion"/>
  </si>
  <si>
    <t>备注</t>
    <phoneticPr fontId="3" type="noConversion"/>
  </si>
  <si>
    <t>运行</t>
  </si>
  <si>
    <t>@END@</t>
    <phoneticPr fontId="3" type="noConversion"/>
  </si>
  <si>
    <t>是否运行</t>
    <phoneticPr fontId="3" type="noConversion"/>
  </si>
  <si>
    <t>用例数</t>
    <phoneticPr fontId="3" type="noConversion"/>
  </si>
  <si>
    <t>操作列表</t>
    <phoneticPr fontId="3" type="noConversion"/>
  </si>
  <si>
    <t>get</t>
    <phoneticPr fontId="3" type="noConversion"/>
  </si>
  <si>
    <t>click</t>
    <phoneticPr fontId="3" type="noConversion"/>
  </si>
  <si>
    <t>switchToWindowByClick</t>
    <phoneticPr fontId="3" type="noConversion"/>
  </si>
  <si>
    <t>textContains</t>
    <phoneticPr fontId="3" type="noConversion"/>
  </si>
  <si>
    <t>selectByIndex</t>
    <phoneticPr fontId="3" type="noConversion"/>
  </si>
  <si>
    <t>selectByValue</t>
    <phoneticPr fontId="3" type="noConversion"/>
  </si>
  <si>
    <t>selectByText</t>
    <phoneticPr fontId="3" type="noConversion"/>
  </si>
  <si>
    <t>sendKeys</t>
    <phoneticPr fontId="3" type="noConversion"/>
  </si>
  <si>
    <t>selectOrNot</t>
    <phoneticPr fontId="3" type="noConversion"/>
  </si>
  <si>
    <t>switchToDefaultWindow</t>
    <phoneticPr fontId="3" type="noConversion"/>
  </si>
  <si>
    <t>executeJs</t>
    <phoneticPr fontId="3" type="noConversion"/>
  </si>
  <si>
    <t>{@param1@}</t>
    <phoneticPr fontId="3" type="noConversion"/>
  </si>
  <si>
    <t>{@param2@}</t>
    <phoneticPr fontId="3" type="noConversion"/>
  </si>
  <si>
    <t>{@param3@}</t>
    <phoneticPr fontId="3" type="noConversion"/>
  </si>
  <si>
    <t>mustExist</t>
    <phoneticPr fontId="3" type="noConversion"/>
  </si>
  <si>
    <t>switchToFrame</t>
    <phoneticPr fontId="3" type="noConversion"/>
  </si>
  <si>
    <t>switchToDefaultContent</t>
    <phoneticPr fontId="3" type="noConversion"/>
  </si>
  <si>
    <t>call</t>
    <phoneticPr fontId="3" type="noConversion"/>
  </si>
  <si>
    <t>常用JS</t>
    <phoneticPr fontId="3" type="noConversion"/>
  </si>
  <si>
    <t>js语句</t>
    <phoneticPr fontId="3" type="noConversion"/>
  </si>
  <si>
    <t>时间格式MMddhhmmss</t>
    <phoneticPr fontId="3" type="noConversion"/>
  </si>
  <si>
    <t>f=function(t){return (t+"").match(/^\d$/)?("0"+t):(t+"");};d=new Date();s=d.getFullYear()+f(d.getMonth()+1)+f(d.getDate())+f(d.getHours())+f(d.getMinutes())+f(d.getSeconds());return s;</t>
    <phoneticPr fontId="3" type="noConversion"/>
  </si>
  <si>
    <t>时间格式yyyyMMddhhmmss</t>
    <phoneticPr fontId="3" type="noConversion"/>
  </si>
  <si>
    <t>时间格式yyyy-MM-dd hh:mm:ss</t>
    <phoneticPr fontId="3" type="noConversion"/>
  </si>
  <si>
    <t>f=function(t){return (t+"").match(/^\d$/)?("0"+t):(t+"");};d=new Date();s=d.getFullYear()+"-"+f(d.getMonth()+1)+"-"+f(d.getDate());return s;</t>
    <phoneticPr fontId="3" type="noConversion"/>
  </si>
  <si>
    <t>f=function(t){return (t+"").match(/^\d$/)?("0"+t):(t+"");};d=new Date();s=d.getFullYear()+"-"+f(d.getMonth()+1)+"-"+f(d.getDate())+" "+f(d.getHours())+":"+f(d.getMinutes())+":"+f(d.getSeconds());return s;</t>
    <phoneticPr fontId="3" type="noConversion"/>
  </si>
  <si>
    <t>f=function(t){return (t+"").match(/^\d$/)?("0"+t):(t+"");};d=new Date();s=f(d.getMonth()+1)+f(d.getDate())+f(d.getHours())+f(d.getMinutes())+f(d.getSeconds());return s;</t>
    <phoneticPr fontId="3" type="noConversion"/>
  </si>
  <si>
    <t>textEquals</t>
    <phoneticPr fontId="3" type="noConversion"/>
  </si>
  <si>
    <t>valueEquals</t>
    <phoneticPr fontId="3" type="noConversion"/>
  </si>
  <si>
    <t>isExist</t>
    <phoneticPr fontId="3" type="noConversion"/>
  </si>
  <si>
    <t>isDisplayed</t>
    <phoneticPr fontId="3" type="noConversion"/>
  </si>
  <si>
    <t>isSelected</t>
    <phoneticPr fontId="3" type="noConversion"/>
  </si>
  <si>
    <t>isEnabled</t>
    <phoneticPr fontId="3" type="noConversion"/>
  </si>
  <si>
    <t>upload</t>
    <phoneticPr fontId="3" type="noConversion"/>
  </si>
  <si>
    <t>moveOverElement</t>
  </si>
  <si>
    <t>sameAsLocalFile</t>
  </si>
  <si>
    <t>步骤数、数据组数</t>
    <phoneticPr fontId="3" type="noConversion"/>
  </si>
  <si>
    <t>[Title]</t>
    <phoneticPr fontId="3" type="noConversion"/>
  </si>
  <si>
    <t>PAGE_模板</t>
  </si>
  <si>
    <t>例子元素</t>
  </si>
  <si>
    <t>例子元素</t>
    <phoneticPr fontId="3" type="noConversion"/>
  </si>
  <si>
    <t>//input[@id="sample"]</t>
    <phoneticPr fontId="3" type="noConversion"/>
  </si>
  <si>
    <t>模板例子</t>
    <phoneticPr fontId="3" type="noConversion"/>
  </si>
  <si>
    <t>get</t>
  </si>
  <si>
    <t>ContextClick</t>
    <phoneticPr fontId="3" type="noConversion"/>
  </si>
  <si>
    <t>Waitforsecs</t>
    <phoneticPr fontId="3" type="noConversion"/>
  </si>
  <si>
    <t>ExistInSecs</t>
    <phoneticPr fontId="3" type="noConversion"/>
  </si>
  <si>
    <t>execute</t>
    <phoneticPr fontId="3" type="noConversion"/>
  </si>
  <si>
    <t>步骤</t>
    <phoneticPr fontId="3" type="noConversion"/>
  </si>
  <si>
    <t>元素名称</t>
    <phoneticPr fontId="3" type="noConversion"/>
  </si>
  <si>
    <t>操作</t>
    <phoneticPr fontId="3" type="noConversion"/>
  </si>
  <si>
    <t>输入值</t>
    <phoneticPr fontId="3" type="noConversion"/>
  </si>
  <si>
    <t>@END@</t>
    <phoneticPr fontId="3" type="noConversion"/>
  </si>
  <si>
    <t>页面库名称</t>
    <phoneticPr fontId="3" type="noConversion"/>
  </si>
  <si>
    <t>cc</t>
    <phoneticPr fontId="3" type="noConversion"/>
  </si>
  <si>
    <t>skip</t>
    <phoneticPr fontId="3" type="noConversion"/>
  </si>
  <si>
    <t>时间格式yyyy-MM-dd</t>
    <phoneticPr fontId="3" type="noConversion"/>
  </si>
  <si>
    <t>PAGE_登录页面</t>
    <phoneticPr fontId="3" type="noConversion"/>
  </si>
  <si>
    <t>CASE_登录必填检查</t>
    <phoneticPr fontId="3" type="noConversion"/>
  </si>
  <si>
    <t>PAGE_公共元素</t>
    <phoneticPr fontId="3" type="noConversion"/>
  </si>
  <si>
    <t>CASE_登录功能检查</t>
    <phoneticPr fontId="3" type="noConversion"/>
  </si>
  <si>
    <t>登录名输入框</t>
    <phoneticPr fontId="3" type="noConversion"/>
  </si>
  <si>
    <t>//input[@id="logonInfo.logUserName"]</t>
    <phoneticPr fontId="3" type="noConversion"/>
  </si>
  <si>
    <t>登录密码输入框</t>
    <phoneticPr fontId="3" type="noConversion"/>
  </si>
  <si>
    <t>//input[@id="logonInfo.logPassword"]</t>
    <phoneticPr fontId="3" type="noConversion"/>
  </si>
  <si>
    <t>登录按钮</t>
    <phoneticPr fontId="3" type="noConversion"/>
  </si>
  <si>
    <t>//button[@id="sign-in-submit"]</t>
    <phoneticPr fontId="3" type="noConversion"/>
  </si>
  <si>
    <t>特定必填提示</t>
    <phoneticPr fontId="3" type="noConversion"/>
  </si>
  <si>
    <t>//label[@class="error" and contains(text(),"{@@}")]</t>
    <phoneticPr fontId="3" type="noConversion"/>
  </si>
  <si>
    <t>登录错误提示</t>
    <phoneticPr fontId="3" type="noConversion"/>
  </si>
  <si>
    <t>//h6[@id="error_title"]</t>
    <phoneticPr fontId="3" type="noConversion"/>
  </si>
  <si>
    <t>退出登录链接</t>
    <phoneticPr fontId="3" type="noConversion"/>
  </si>
  <si>
    <t>//a[text()="Sign Out"]</t>
    <phoneticPr fontId="3" type="noConversion"/>
  </si>
  <si>
    <t>https://login.made-in-china.com/logon.do?xcase=doLogout</t>
    <phoneticPr fontId="3" type="noConversion"/>
  </si>
  <si>
    <t>https://login.made-in-china.com/logon.do?xcase=doLogout</t>
    <phoneticPr fontId="3" type="noConversion"/>
  </si>
  <si>
    <t>https://login.made-in-china.com/</t>
    <phoneticPr fontId="3" type="noConversion"/>
  </si>
  <si>
    <t>PAGE_登录页面</t>
  </si>
  <si>
    <t>登录名输入框</t>
  </si>
  <si>
    <t>sendKeys</t>
  </si>
  <si>
    <t>producttest</t>
    <phoneticPr fontId="3" type="noConversion"/>
  </si>
  <si>
    <t>登录密码输入框</t>
  </si>
  <si>
    <t>123456a</t>
    <phoneticPr fontId="3" type="noConversion"/>
  </si>
  <si>
    <t>skip</t>
  </si>
  <si>
    <t>登录按钮</t>
  </si>
  <si>
    <t>click</t>
  </si>
  <si>
    <t>特定必填提示</t>
  </si>
  <si>
    <t>isDisplayed</t>
  </si>
  <si>
    <t>Please enter your Email Address or Member ID.###yes</t>
    <phoneticPr fontId="3" type="noConversion"/>
  </si>
  <si>
    <t>Please enter your Password.###yes</t>
    <phoneticPr fontId="3" type="noConversion"/>
  </si>
  <si>
    <t>1.登录名称未输入</t>
    <phoneticPr fontId="3" type="noConversion"/>
  </si>
  <si>
    <t>2.登录密码未输入</t>
    <phoneticPr fontId="3" type="noConversion"/>
  </si>
  <si>
    <t>isExist</t>
  </si>
  <si>
    <t>xxxfocustlxxx</t>
    <phoneticPr fontId="3" type="noConversion"/>
  </si>
  <si>
    <t>登录错误提示</t>
  </si>
  <si>
    <t>textContains</t>
  </si>
  <si>
    <t>This Member ID is not yet registered.</t>
    <phoneticPr fontId="3" type="noConversion"/>
  </si>
  <si>
    <t>Incorrect Password.</t>
    <phoneticPr fontId="3" type="noConversion"/>
  </si>
  <si>
    <t>PAGE_公共元素</t>
  </si>
  <si>
    <t>退出登录链接</t>
  </si>
  <si>
    <t>no</t>
    <phoneticPr fontId="3" type="noConversion"/>
  </si>
  <si>
    <t>1.登录名称不存在</t>
    <phoneticPr fontId="3" type="noConversion"/>
  </si>
  <si>
    <t>2.登录密码错误</t>
    <phoneticPr fontId="3" type="noConversion"/>
  </si>
  <si>
    <t>paytest</t>
    <phoneticPr fontId="3" type="noConversion"/>
  </si>
  <si>
    <t>xxxxx</t>
    <phoneticPr fontId="3" type="noConversion"/>
  </si>
</sst>
</file>

<file path=xl/styles.xml><?xml version="1.0" encoding="utf-8"?>
<styleSheet xmlns="http://schemas.openxmlformats.org/spreadsheetml/2006/main">
  <fonts count="13">
    <font>
      <sz val="11"/>
      <color theme="1"/>
      <name val="宋体"/>
      <family val="2"/>
      <scheme val="minor"/>
    </font>
    <font>
      <sz val="11"/>
      <color rgb="FF006100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rgb="FF00206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2"/>
      <scheme val="minor"/>
    </font>
    <font>
      <b/>
      <sz val="16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31">
    <xf numFmtId="0" fontId="0" fillId="0" borderId="0" xfId="0"/>
    <xf numFmtId="0" fontId="0" fillId="4" borderId="1" xfId="0" applyFill="1" applyBorder="1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5" borderId="1" xfId="0" applyFill="1" applyBorder="1"/>
    <xf numFmtId="49" fontId="0" fillId="0" borderId="1" xfId="0" applyNumberFormat="1" applyBorder="1"/>
    <xf numFmtId="0" fontId="0" fillId="7" borderId="1" xfId="0" applyFill="1" applyBorder="1" applyAlignment="1">
      <alignment horizontal="left" vertical="top"/>
    </xf>
    <xf numFmtId="0" fontId="5" fillId="3" borderId="1" xfId="2" applyFont="1" applyBorder="1" applyAlignment="1">
      <alignment vertical="top"/>
    </xf>
    <xf numFmtId="0" fontId="0" fillId="0" borderId="1" xfId="0" applyBorder="1"/>
    <xf numFmtId="0" fontId="0" fillId="8" borderId="1" xfId="0" applyFill="1" applyBorder="1"/>
    <xf numFmtId="49" fontId="0" fillId="0" borderId="1" xfId="0" applyNumberFormat="1" applyFill="1" applyBorder="1"/>
    <xf numFmtId="49" fontId="0" fillId="0" borderId="0" xfId="0" applyNumberFormat="1"/>
    <xf numFmtId="49" fontId="0" fillId="7" borderId="1" xfId="0" applyNumberFormat="1" applyFill="1" applyBorder="1"/>
    <xf numFmtId="49" fontId="0" fillId="9" borderId="1" xfId="0" applyNumberFormat="1" applyFill="1" applyBorder="1"/>
    <xf numFmtId="0" fontId="0" fillId="0" borderId="1" xfId="0" applyFill="1" applyBorder="1" applyAlignment="1">
      <alignment horizontal="left" vertical="top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/>
    </xf>
    <xf numFmtId="0" fontId="0" fillId="7" borderId="1" xfId="0" applyFill="1" applyBorder="1" applyAlignment="1">
      <alignment vertical="top"/>
    </xf>
    <xf numFmtId="0" fontId="0" fillId="7" borderId="1" xfId="0" applyFill="1" applyBorder="1" applyAlignment="1"/>
    <xf numFmtId="0" fontId="0" fillId="7" borderId="1" xfId="0" applyFill="1" applyBorder="1"/>
    <xf numFmtId="0" fontId="4" fillId="12" borderId="1" xfId="0" applyFont="1" applyFill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49" fontId="9" fillId="7" borderId="1" xfId="0" applyNumberFormat="1" applyFont="1" applyFill="1" applyBorder="1" applyAlignment="1">
      <alignment horizontal="left" vertical="top"/>
    </xf>
    <xf numFmtId="0" fontId="10" fillId="4" borderId="1" xfId="0" applyFont="1" applyFill="1" applyBorder="1" applyAlignment="1">
      <alignment horizontal="left" vertical="top"/>
    </xf>
    <xf numFmtId="0" fontId="10" fillId="6" borderId="1" xfId="0" applyFont="1" applyFill="1" applyBorder="1" applyAlignment="1">
      <alignment horizontal="left" vertical="top"/>
    </xf>
    <xf numFmtId="49" fontId="11" fillId="7" borderId="1" xfId="0" applyNumberFormat="1" applyFont="1" applyFill="1" applyBorder="1" applyAlignment="1">
      <alignment horizontal="left" vertical="top"/>
    </xf>
    <xf numFmtId="0" fontId="4" fillId="9" borderId="1" xfId="1" applyFont="1" applyFill="1" applyBorder="1" applyAlignment="1">
      <alignment vertical="top"/>
    </xf>
    <xf numFmtId="0" fontId="0" fillId="0" borderId="0" xfId="0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0" fontId="12" fillId="0" borderId="1" xfId="0" applyFont="1" applyBorder="1" applyAlignment="1">
      <alignment horizontal="left" vertical="top"/>
    </xf>
    <xf numFmtId="0" fontId="0" fillId="0" borderId="1" xfId="0" applyNumberFormat="1" applyBorder="1" applyAlignment="1">
      <alignment horizontal="left" vertical="top"/>
    </xf>
  </cellXfs>
  <cellStyles count="3">
    <cellStyle name="常规" xfId="0" builtinId="0"/>
    <cellStyle name="好" xfId="1" builtinId="26"/>
    <cellStyle name="适中" xfId="2" builtinId="2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B1:H34"/>
  <sheetViews>
    <sheetView workbookViewId="0">
      <selection activeCell="G22" sqref="G22"/>
    </sheetView>
  </sheetViews>
  <sheetFormatPr defaultRowHeight="13.5"/>
  <cols>
    <col min="2" max="2" width="16.5" bestFit="1" customWidth="1"/>
    <col min="3" max="3" width="16.375" customWidth="1"/>
    <col min="5" max="5" width="23.875" style="11" bestFit="1" customWidth="1"/>
    <col min="7" max="7" width="29.125" customWidth="1"/>
    <col min="8" max="8" width="8.625" customWidth="1"/>
  </cols>
  <sheetData>
    <row r="1" spans="2:8">
      <c r="C1" s="4" t="s">
        <v>9</v>
      </c>
      <c r="D1" s="9">
        <f>COUNTIF(C:C,"&lt;&gt;")-2</f>
        <v>2</v>
      </c>
      <c r="G1" s="1" t="s">
        <v>29</v>
      </c>
      <c r="H1" s="1" t="s">
        <v>30</v>
      </c>
    </row>
    <row r="2" spans="2:8">
      <c r="B2" s="1" t="s">
        <v>3</v>
      </c>
      <c r="C2" s="4" t="s">
        <v>4</v>
      </c>
      <c r="D2" s="4" t="s">
        <v>8</v>
      </c>
      <c r="E2" s="13" t="s">
        <v>10</v>
      </c>
      <c r="G2" s="17" t="s">
        <v>33</v>
      </c>
      <c r="H2" s="6" t="s">
        <v>32</v>
      </c>
    </row>
    <row r="3" spans="2:8">
      <c r="B3" s="10" t="s">
        <v>68</v>
      </c>
      <c r="C3" s="5" t="s">
        <v>69</v>
      </c>
      <c r="D3" s="8" t="s">
        <v>6</v>
      </c>
      <c r="E3" s="12" t="s">
        <v>11</v>
      </c>
      <c r="G3" s="18" t="s">
        <v>31</v>
      </c>
      <c r="H3" s="18" t="s">
        <v>37</v>
      </c>
    </row>
    <row r="4" spans="2:8">
      <c r="B4" s="5" t="s">
        <v>70</v>
      </c>
      <c r="C4" s="5" t="s">
        <v>71</v>
      </c>
      <c r="D4" s="8" t="s">
        <v>6</v>
      </c>
      <c r="E4" s="12" t="s">
        <v>12</v>
      </c>
      <c r="G4" s="19" t="s">
        <v>34</v>
      </c>
      <c r="H4" s="19" t="s">
        <v>36</v>
      </c>
    </row>
    <row r="5" spans="2:8">
      <c r="B5" s="5"/>
      <c r="C5" s="10"/>
      <c r="D5" s="8"/>
      <c r="E5" s="12" t="s">
        <v>19</v>
      </c>
      <c r="G5" s="19" t="s">
        <v>67</v>
      </c>
      <c r="H5" s="19" t="s">
        <v>35</v>
      </c>
    </row>
    <row r="6" spans="2:8">
      <c r="B6" s="5"/>
      <c r="C6" s="5"/>
      <c r="D6" s="8"/>
      <c r="E6" s="12" t="s">
        <v>18</v>
      </c>
      <c r="G6" s="19"/>
      <c r="H6" s="19"/>
    </row>
    <row r="7" spans="2:8">
      <c r="B7" s="5"/>
      <c r="C7" s="5"/>
      <c r="D7" s="8"/>
      <c r="E7" s="12" t="s">
        <v>16</v>
      </c>
      <c r="G7" s="19"/>
      <c r="H7" s="19"/>
    </row>
    <row r="8" spans="2:8">
      <c r="B8" s="5"/>
      <c r="C8" s="5"/>
      <c r="D8" s="8"/>
      <c r="E8" s="12" t="s">
        <v>17</v>
      </c>
      <c r="G8" s="19"/>
      <c r="H8" s="19"/>
    </row>
    <row r="9" spans="2:8">
      <c r="B9" s="5"/>
      <c r="C9" s="5"/>
      <c r="D9" s="8"/>
      <c r="E9" s="12" t="s">
        <v>15</v>
      </c>
      <c r="G9" s="19"/>
      <c r="H9" s="19"/>
    </row>
    <row r="10" spans="2:8">
      <c r="B10" s="5"/>
      <c r="C10" s="5"/>
      <c r="D10" s="8"/>
      <c r="E10" s="12" t="s">
        <v>14</v>
      </c>
    </row>
    <row r="11" spans="2:8">
      <c r="B11" s="5"/>
      <c r="C11" s="5"/>
      <c r="D11" s="8"/>
      <c r="E11" s="12" t="s">
        <v>13</v>
      </c>
    </row>
    <row r="12" spans="2:8">
      <c r="B12" s="5"/>
      <c r="C12" s="5"/>
      <c r="D12" s="8"/>
      <c r="E12" s="12" t="s">
        <v>20</v>
      </c>
    </row>
    <row r="13" spans="2:8">
      <c r="B13" s="5"/>
      <c r="C13" s="5"/>
      <c r="D13" s="8"/>
      <c r="E13" s="12" t="s">
        <v>21</v>
      </c>
    </row>
    <row r="14" spans="2:8">
      <c r="B14" s="5"/>
      <c r="C14" s="5"/>
      <c r="D14" s="8"/>
      <c r="E14" s="12" t="s">
        <v>66</v>
      </c>
    </row>
    <row r="15" spans="2:8">
      <c r="B15" s="5"/>
      <c r="C15" s="5"/>
      <c r="D15" s="8"/>
      <c r="E15" s="12" t="s">
        <v>22</v>
      </c>
    </row>
    <row r="16" spans="2:8">
      <c r="B16" s="5"/>
      <c r="C16" s="5"/>
      <c r="D16" s="8"/>
      <c r="E16" s="12" t="s">
        <v>23</v>
      </c>
    </row>
    <row r="17" spans="2:5">
      <c r="B17" s="5"/>
      <c r="C17" s="5"/>
      <c r="D17" s="8"/>
      <c r="E17" s="12" t="s">
        <v>24</v>
      </c>
    </row>
    <row r="18" spans="2:5">
      <c r="B18" s="5"/>
      <c r="C18" s="5"/>
      <c r="D18" s="8"/>
      <c r="E18" s="12" t="s">
        <v>25</v>
      </c>
    </row>
    <row r="19" spans="2:5">
      <c r="B19" s="5"/>
      <c r="C19" s="5"/>
      <c r="D19" s="8"/>
      <c r="E19" s="12" t="s">
        <v>26</v>
      </c>
    </row>
    <row r="20" spans="2:5">
      <c r="B20" s="5"/>
      <c r="C20" s="5"/>
      <c r="D20" s="8"/>
      <c r="E20" s="12" t="s">
        <v>27</v>
      </c>
    </row>
    <row r="21" spans="2:5">
      <c r="E21" s="12" t="s">
        <v>28</v>
      </c>
    </row>
    <row r="22" spans="2:5">
      <c r="E22" s="12" t="s">
        <v>38</v>
      </c>
    </row>
    <row r="23" spans="2:5">
      <c r="E23" s="12" t="s">
        <v>39</v>
      </c>
    </row>
    <row r="24" spans="2:5">
      <c r="E24" s="12" t="s">
        <v>40</v>
      </c>
    </row>
    <row r="25" spans="2:5">
      <c r="E25" s="12" t="s">
        <v>41</v>
      </c>
    </row>
    <row r="26" spans="2:5">
      <c r="E26" s="12" t="s">
        <v>42</v>
      </c>
    </row>
    <row r="27" spans="2:5">
      <c r="E27" s="12" t="s">
        <v>43</v>
      </c>
    </row>
    <row r="28" spans="2:5">
      <c r="E28" s="12" t="s">
        <v>44</v>
      </c>
    </row>
    <row r="29" spans="2:5">
      <c r="E29" s="12" t="s">
        <v>45</v>
      </c>
    </row>
    <row r="30" spans="2:5">
      <c r="E30" s="12" t="s">
        <v>46</v>
      </c>
    </row>
    <row r="31" spans="2:5">
      <c r="E31" s="12" t="s">
        <v>57</v>
      </c>
    </row>
    <row r="32" spans="2:5">
      <c r="E32" s="12" t="s">
        <v>55</v>
      </c>
    </row>
    <row r="33" spans="5:5">
      <c r="E33" s="12" t="s">
        <v>56</v>
      </c>
    </row>
    <row r="34" spans="5:5">
      <c r="E34" s="12" t="s">
        <v>58</v>
      </c>
    </row>
  </sheetData>
  <phoneticPr fontId="3" type="noConversion"/>
  <dataValidations count="1">
    <dataValidation type="list" allowBlank="1" showInputMessage="1" showErrorMessage="1" sqref="D3:D20">
      <formula1>"运行,忽略"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>
    <tabColor rgb="FFFFFF00"/>
  </sheetPr>
  <dimension ref="A1:D12"/>
  <sheetViews>
    <sheetView workbookViewId="0">
      <selection activeCell="B15" sqref="B15"/>
    </sheetView>
  </sheetViews>
  <sheetFormatPr defaultRowHeight="13.5"/>
  <cols>
    <col min="1" max="1" width="9" style="2"/>
    <col min="2" max="2" width="16.375" style="2" bestFit="1" customWidth="1"/>
    <col min="3" max="3" width="51.625" style="2" bestFit="1" customWidth="1"/>
    <col min="4" max="16384" width="9" style="2"/>
  </cols>
  <sheetData>
    <row r="1" spans="1:4">
      <c r="A1" s="20" t="s">
        <v>2</v>
      </c>
      <c r="B1" s="20" t="s">
        <v>0</v>
      </c>
      <c r="C1" s="20" t="s">
        <v>1</v>
      </c>
      <c r="D1" s="20" t="s">
        <v>5</v>
      </c>
    </row>
    <row r="2" spans="1:4">
      <c r="A2" s="3">
        <v>1</v>
      </c>
      <c r="B2" s="3" t="s">
        <v>72</v>
      </c>
      <c r="C2" s="3" t="s">
        <v>73</v>
      </c>
      <c r="D2" s="3" t="s">
        <v>53</v>
      </c>
    </row>
    <row r="3" spans="1:4">
      <c r="A3" s="3">
        <v>2</v>
      </c>
      <c r="B3" s="3" t="s">
        <v>74</v>
      </c>
      <c r="C3" s="3" t="s">
        <v>75</v>
      </c>
      <c r="D3" s="3"/>
    </row>
    <row r="4" spans="1:4">
      <c r="A4" s="3">
        <v>3</v>
      </c>
      <c r="B4" s="3" t="s">
        <v>76</v>
      </c>
      <c r="C4" s="3" t="s">
        <v>77</v>
      </c>
      <c r="D4" s="3"/>
    </row>
    <row r="5" spans="1:4">
      <c r="A5" s="3">
        <v>4</v>
      </c>
      <c r="B5" s="3" t="s">
        <v>78</v>
      </c>
      <c r="C5" s="3" t="s">
        <v>79</v>
      </c>
      <c r="D5" s="3"/>
    </row>
    <row r="6" spans="1:4">
      <c r="A6" s="3">
        <v>5</v>
      </c>
      <c r="B6" s="3" t="s">
        <v>80</v>
      </c>
      <c r="C6" s="3" t="s">
        <v>81</v>
      </c>
      <c r="D6" s="3"/>
    </row>
    <row r="7" spans="1:4">
      <c r="A7" s="3"/>
      <c r="B7" s="3"/>
      <c r="C7" s="3"/>
      <c r="D7" s="3"/>
    </row>
    <row r="8" spans="1:4">
      <c r="A8" s="3"/>
      <c r="B8" s="3"/>
      <c r="C8" s="3"/>
      <c r="D8" s="3"/>
    </row>
    <row r="9" spans="1:4">
      <c r="A9" s="3"/>
      <c r="B9" s="3"/>
      <c r="C9" s="3"/>
      <c r="D9" s="3"/>
    </row>
    <row r="10" spans="1:4">
      <c r="A10" s="3"/>
      <c r="B10" s="3"/>
      <c r="C10" s="3"/>
      <c r="D10" s="3"/>
    </row>
    <row r="11" spans="1:4">
      <c r="A11" s="3"/>
      <c r="B11" s="3"/>
      <c r="C11" s="3"/>
      <c r="D11" s="3"/>
    </row>
    <row r="12" spans="1:4">
      <c r="A12" s="3"/>
      <c r="B12" s="3"/>
      <c r="C12" s="3"/>
      <c r="D12" s="3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1:D13"/>
  <sheetViews>
    <sheetView workbookViewId="0">
      <selection activeCell="C10" sqref="C10"/>
    </sheetView>
  </sheetViews>
  <sheetFormatPr defaultRowHeight="13.5"/>
  <cols>
    <col min="1" max="1" width="9" style="2"/>
    <col min="2" max="2" width="16.375" style="2" bestFit="1" customWidth="1"/>
    <col min="3" max="3" width="51.625" style="2" bestFit="1" customWidth="1"/>
    <col min="4" max="16384" width="9" style="2"/>
  </cols>
  <sheetData>
    <row r="1" spans="1:4">
      <c r="A1" s="20" t="s">
        <v>2</v>
      </c>
      <c r="B1" s="20" t="s">
        <v>0</v>
      </c>
      <c r="C1" s="20" t="s">
        <v>1</v>
      </c>
      <c r="D1" s="20" t="s">
        <v>5</v>
      </c>
    </row>
    <row r="2" spans="1:4">
      <c r="A2" s="3">
        <v>1</v>
      </c>
      <c r="B2" s="3" t="s">
        <v>82</v>
      </c>
      <c r="C2" s="3" t="s">
        <v>83</v>
      </c>
      <c r="D2" s="3"/>
    </row>
    <row r="3" spans="1:4">
      <c r="A3" s="3"/>
      <c r="B3" s="3"/>
      <c r="C3" s="3"/>
      <c r="D3" s="3"/>
    </row>
    <row r="4" spans="1:4">
      <c r="A4" s="3"/>
      <c r="B4" s="3"/>
      <c r="C4" s="3"/>
      <c r="D4" s="3"/>
    </row>
    <row r="5" spans="1:4">
      <c r="A5" s="3"/>
      <c r="B5" s="3"/>
      <c r="C5" s="3"/>
      <c r="D5" s="3"/>
    </row>
    <row r="6" spans="1:4">
      <c r="A6" s="3"/>
      <c r="B6" s="3"/>
      <c r="C6" s="3"/>
      <c r="D6" s="3"/>
    </row>
    <row r="7" spans="1:4">
      <c r="A7" s="3"/>
      <c r="B7" s="3"/>
      <c r="C7" s="3"/>
      <c r="D7" s="3"/>
    </row>
    <row r="8" spans="1:4">
      <c r="A8" s="3"/>
      <c r="B8" s="3"/>
      <c r="C8" s="3"/>
      <c r="D8" s="3"/>
    </row>
    <row r="9" spans="1:4">
      <c r="A9" s="3"/>
      <c r="B9" s="3"/>
      <c r="C9" s="3"/>
      <c r="D9" s="3"/>
    </row>
    <row r="10" spans="1:4">
      <c r="A10" s="3"/>
      <c r="B10" s="3"/>
      <c r="C10" s="3"/>
      <c r="D10" s="3"/>
    </row>
    <row r="11" spans="1:4">
      <c r="A11" s="3"/>
      <c r="B11" s="3"/>
      <c r="C11" s="3"/>
      <c r="D11" s="3"/>
    </row>
    <row r="12" spans="1:4">
      <c r="A12" s="3"/>
      <c r="B12" s="3"/>
      <c r="C12" s="3"/>
      <c r="D12" s="3"/>
    </row>
    <row r="13" spans="1:4">
      <c r="A13" s="3"/>
      <c r="B13" s="3"/>
      <c r="C13" s="3"/>
      <c r="D13" s="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tabColor rgb="FF0070C0"/>
  </sheetPr>
  <dimension ref="A1:H14"/>
  <sheetViews>
    <sheetView topLeftCell="E1" workbookViewId="0">
      <selection activeCell="G19" sqref="G19"/>
    </sheetView>
  </sheetViews>
  <sheetFormatPr defaultRowHeight="13.5"/>
  <cols>
    <col min="1" max="1" width="16.25" style="2" bestFit="1" customWidth="1"/>
    <col min="2" max="2" width="18.75" style="2" customWidth="1"/>
    <col min="3" max="3" width="21.375" style="2" bestFit="1" customWidth="1"/>
    <col min="4" max="4" width="23.875" style="2" bestFit="1" customWidth="1"/>
    <col min="5" max="5" width="25.5" style="2" bestFit="1" customWidth="1"/>
    <col min="6" max="6" width="23.875" style="2" bestFit="1" customWidth="1"/>
    <col min="7" max="7" width="61.625" style="2" bestFit="1" customWidth="1"/>
    <col min="8" max="8" width="16" style="2" customWidth="1"/>
    <col min="9" max="16384" width="9" style="2"/>
  </cols>
  <sheetData>
    <row r="1" spans="1:8">
      <c r="A1" s="16" t="s">
        <v>47</v>
      </c>
      <c r="B1" s="15">
        <f>MATCH("@END@",A:A,0)-3</f>
        <v>6</v>
      </c>
      <c r="C1" s="15">
        <f>(MATCH("@END@",$A$2:$ZU$2,0)-4)/2</f>
        <v>2</v>
      </c>
      <c r="D1" s="26" t="s">
        <v>6</v>
      </c>
      <c r="E1" s="7" t="s">
        <v>100</v>
      </c>
      <c r="F1" s="26" t="s">
        <v>6</v>
      </c>
      <c r="G1" s="7" t="s">
        <v>101</v>
      </c>
      <c r="H1" s="3"/>
    </row>
    <row r="2" spans="1:8" s="21" customFormat="1" ht="20.25">
      <c r="A2" s="23" t="s">
        <v>59</v>
      </c>
      <c r="B2" s="23" t="s">
        <v>64</v>
      </c>
      <c r="C2" s="23" t="s">
        <v>0</v>
      </c>
      <c r="D2" s="24" t="s">
        <v>61</v>
      </c>
      <c r="E2" s="24" t="s">
        <v>62</v>
      </c>
      <c r="F2" s="24" t="s">
        <v>61</v>
      </c>
      <c r="G2" s="24" t="s">
        <v>62</v>
      </c>
      <c r="H2" s="25" t="s">
        <v>7</v>
      </c>
    </row>
    <row r="3" spans="1:8">
      <c r="A3" s="14">
        <v>1</v>
      </c>
      <c r="B3" s="3"/>
      <c r="C3" s="3"/>
      <c r="D3" s="3" t="s">
        <v>54</v>
      </c>
      <c r="E3" s="8" t="s">
        <v>85</v>
      </c>
      <c r="F3" s="3" t="s">
        <v>54</v>
      </c>
      <c r="G3" t="s">
        <v>84</v>
      </c>
      <c r="H3" s="3"/>
    </row>
    <row r="4" spans="1:8">
      <c r="A4" s="14">
        <v>2</v>
      </c>
      <c r="B4" s="3"/>
      <c r="C4" s="3"/>
      <c r="D4" s="3" t="s">
        <v>54</v>
      </c>
      <c r="E4" s="8" t="s">
        <v>86</v>
      </c>
      <c r="F4" s="3" t="s">
        <v>54</v>
      </c>
      <c r="G4" s="8" t="s">
        <v>86</v>
      </c>
      <c r="H4" s="3"/>
    </row>
    <row r="5" spans="1:8">
      <c r="A5" s="14">
        <v>3</v>
      </c>
      <c r="B5" s="3" t="s">
        <v>87</v>
      </c>
      <c r="C5" s="3" t="s">
        <v>88</v>
      </c>
      <c r="D5" s="3" t="s">
        <v>89</v>
      </c>
      <c r="E5" s="3"/>
      <c r="F5" s="3" t="s">
        <v>89</v>
      </c>
      <c r="G5" s="28" t="s">
        <v>90</v>
      </c>
      <c r="H5" s="3"/>
    </row>
    <row r="6" spans="1:8">
      <c r="A6" s="14">
        <v>4</v>
      </c>
      <c r="B6" s="3" t="s">
        <v>87</v>
      </c>
      <c r="C6" s="3" t="s">
        <v>91</v>
      </c>
      <c r="D6" s="3" t="s">
        <v>89</v>
      </c>
      <c r="E6" s="3" t="s">
        <v>92</v>
      </c>
      <c r="F6" s="3" t="s">
        <v>93</v>
      </c>
      <c r="G6" s="28"/>
      <c r="H6" s="3"/>
    </row>
    <row r="7" spans="1:8">
      <c r="A7" s="14">
        <v>5</v>
      </c>
      <c r="B7" s="3" t="s">
        <v>87</v>
      </c>
      <c r="C7" s="3" t="s">
        <v>94</v>
      </c>
      <c r="D7" s="3" t="s">
        <v>95</v>
      </c>
      <c r="E7" s="3"/>
      <c r="F7" s="3" t="s">
        <v>95</v>
      </c>
      <c r="G7" s="28"/>
      <c r="H7" s="3"/>
    </row>
    <row r="8" spans="1:8">
      <c r="A8" s="14">
        <v>6</v>
      </c>
      <c r="B8" s="3" t="s">
        <v>87</v>
      </c>
      <c r="C8" s="29" t="s">
        <v>96</v>
      </c>
      <c r="D8" s="3" t="s">
        <v>97</v>
      </c>
      <c r="E8" s="3" t="s">
        <v>98</v>
      </c>
      <c r="F8" s="3" t="s">
        <v>97</v>
      </c>
      <c r="G8" s="30" t="s">
        <v>99</v>
      </c>
      <c r="H8" s="3"/>
    </row>
    <row r="9" spans="1:8" ht="21.75" customHeight="1">
      <c r="A9" s="22" t="s">
        <v>7</v>
      </c>
      <c r="B9" s="3"/>
      <c r="C9" s="3"/>
      <c r="D9" s="3"/>
      <c r="E9" s="3"/>
      <c r="F9" s="3"/>
      <c r="G9" s="3"/>
      <c r="H9" s="3"/>
    </row>
    <row r="14" spans="1:8">
      <c r="C14" s="27"/>
    </row>
  </sheetData>
  <phoneticPr fontId="3" type="noConversion"/>
  <dataValidations count="4">
    <dataValidation type="list" allowBlank="1" showInputMessage="1" showErrorMessage="1" sqref="C3:C8">
      <formula1>OFFSET(INDIRECT(B3&amp;"!$B$2"),,,SUMPRODUCT(N(LEN(INDIRECT(B3&amp;"!$B$2:$B$500"))&gt;0)),)</formula1>
    </dataValidation>
    <dataValidation type="list" allowBlank="1" showInputMessage="1" showErrorMessage="1" sqref="B3:B8">
      <formula1>页面列表</formula1>
    </dataValidation>
    <dataValidation type="list" allowBlank="1" showInputMessage="1" showErrorMessage="1" sqref="D1 F1">
      <formula1>"运行,忽略"</formula1>
    </dataValidation>
    <dataValidation type="list" allowBlank="1" showInputMessage="1" showErrorMessage="1" sqref="F3:F8 D3:D8">
      <formula1>操作列表</formula1>
    </dataValidation>
  </dataValidations>
  <pageMargins left="0.7" right="0.7" top="0.75" bottom="0.75" header="0.3" footer="0.3"/>
  <pageSetup paperSize="9" orientation="portrait" r:id="rId1"/>
  <legacyDrawing r:id="rId2"/>
  <controls>
    <control shapeId="8193" r:id="rId3" name="Button1"/>
    <control shapeId="8194" r:id="rId4" name="Button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tabColor rgb="FF0070C0"/>
  </sheetPr>
  <dimension ref="A1:H10"/>
  <sheetViews>
    <sheetView topLeftCell="B1" workbookViewId="0">
      <selection activeCell="G14" sqref="G14"/>
    </sheetView>
  </sheetViews>
  <sheetFormatPr defaultRowHeight="13.5"/>
  <cols>
    <col min="1" max="1" width="16.25" style="2" bestFit="1" customWidth="1"/>
    <col min="2" max="2" width="18.75" style="2" customWidth="1"/>
    <col min="3" max="3" width="21.375" style="2" bestFit="1" customWidth="1"/>
    <col min="4" max="4" width="23.875" style="2" bestFit="1" customWidth="1"/>
    <col min="5" max="5" width="25.5" style="2" bestFit="1" customWidth="1"/>
    <col min="6" max="6" width="23.875" style="2" bestFit="1" customWidth="1"/>
    <col min="7" max="7" width="25.5" style="2" bestFit="1" customWidth="1"/>
    <col min="8" max="8" width="16" style="2" customWidth="1"/>
    <col min="9" max="16384" width="9" style="2"/>
  </cols>
  <sheetData>
    <row r="1" spans="1:8">
      <c r="A1" s="16" t="s">
        <v>47</v>
      </c>
      <c r="B1" s="15">
        <f>MATCH("@END@",A:A,0)-3</f>
        <v>7</v>
      </c>
      <c r="C1" s="15">
        <f>(MATCH("@END@",$A$2:$ZU$2,0)-4)/2</f>
        <v>2</v>
      </c>
      <c r="D1" s="26" t="s">
        <v>6</v>
      </c>
      <c r="E1" s="7" t="s">
        <v>111</v>
      </c>
      <c r="F1" s="26" t="s">
        <v>6</v>
      </c>
      <c r="G1" s="7" t="s">
        <v>112</v>
      </c>
      <c r="H1" s="3"/>
    </row>
    <row r="2" spans="1:8" s="21" customFormat="1" ht="20.25">
      <c r="A2" s="23" t="s">
        <v>59</v>
      </c>
      <c r="B2" s="23" t="s">
        <v>64</v>
      </c>
      <c r="C2" s="23" t="s">
        <v>0</v>
      </c>
      <c r="D2" s="24" t="s">
        <v>61</v>
      </c>
      <c r="E2" s="24" t="s">
        <v>62</v>
      </c>
      <c r="F2" s="24" t="s">
        <v>61</v>
      </c>
      <c r="G2" s="24" t="s">
        <v>62</v>
      </c>
      <c r="H2" s="25" t="s">
        <v>7</v>
      </c>
    </row>
    <row r="3" spans="1:8">
      <c r="A3" s="14">
        <v>1</v>
      </c>
      <c r="B3" s="3"/>
      <c r="C3" s="3"/>
      <c r="D3" s="3" t="s">
        <v>54</v>
      </c>
      <c r="E3" t="s">
        <v>85</v>
      </c>
      <c r="F3" s="3" t="s">
        <v>54</v>
      </c>
      <c r="G3" s="8" t="s">
        <v>85</v>
      </c>
    </row>
    <row r="4" spans="1:8">
      <c r="A4" s="14">
        <v>2</v>
      </c>
      <c r="B4" s="3"/>
      <c r="C4" s="3"/>
      <c r="D4" s="3" t="s">
        <v>54</v>
      </c>
      <c r="E4" t="s">
        <v>86</v>
      </c>
      <c r="F4" s="3" t="s">
        <v>54</v>
      </c>
      <c r="G4" s="8" t="s">
        <v>86</v>
      </c>
    </row>
    <row r="5" spans="1:8">
      <c r="A5" s="14">
        <v>3</v>
      </c>
      <c r="B5" s="3" t="s">
        <v>87</v>
      </c>
      <c r="C5" s="3" t="s">
        <v>88</v>
      </c>
      <c r="D5" s="3" t="s">
        <v>89</v>
      </c>
      <c r="E5" s="3" t="s">
        <v>103</v>
      </c>
      <c r="F5" s="3" t="s">
        <v>89</v>
      </c>
      <c r="G5" s="28" t="s">
        <v>113</v>
      </c>
    </row>
    <row r="6" spans="1:8">
      <c r="A6" s="14">
        <v>4</v>
      </c>
      <c r="B6" s="3" t="s">
        <v>87</v>
      </c>
      <c r="C6" s="3" t="s">
        <v>91</v>
      </c>
      <c r="D6" s="3" t="s">
        <v>89</v>
      </c>
      <c r="E6" s="3" t="s">
        <v>92</v>
      </c>
      <c r="F6" s="3" t="s">
        <v>89</v>
      </c>
      <c r="G6" s="28" t="s">
        <v>114</v>
      </c>
    </row>
    <row r="7" spans="1:8">
      <c r="A7" s="14">
        <v>5</v>
      </c>
      <c r="B7" s="3" t="s">
        <v>87</v>
      </c>
      <c r="C7" s="3" t="s">
        <v>94</v>
      </c>
      <c r="D7" s="3" t="s">
        <v>95</v>
      </c>
      <c r="E7" s="3"/>
      <c r="F7" s="3" t="s">
        <v>95</v>
      </c>
      <c r="G7" s="28"/>
    </row>
    <row r="8" spans="1:8">
      <c r="A8" s="14">
        <v>6</v>
      </c>
      <c r="B8" s="3" t="s">
        <v>87</v>
      </c>
      <c r="C8" s="3" t="s">
        <v>104</v>
      </c>
      <c r="D8" s="3" t="s">
        <v>105</v>
      </c>
      <c r="E8" s="3" t="s">
        <v>106</v>
      </c>
      <c r="F8" s="3" t="s">
        <v>105</v>
      </c>
      <c r="G8" s="28" t="s">
        <v>107</v>
      </c>
    </row>
    <row r="9" spans="1:8">
      <c r="A9" s="14">
        <v>7</v>
      </c>
      <c r="B9" s="3" t="s">
        <v>108</v>
      </c>
      <c r="C9" s="3" t="s">
        <v>109</v>
      </c>
      <c r="D9" s="3" t="s">
        <v>102</v>
      </c>
      <c r="E9" s="3" t="s">
        <v>110</v>
      </c>
      <c r="F9" s="3" t="s">
        <v>102</v>
      </c>
      <c r="G9" s="30" t="s">
        <v>110</v>
      </c>
    </row>
    <row r="10" spans="1:8" ht="21.75" customHeight="1">
      <c r="A10" s="22" t="s">
        <v>7</v>
      </c>
      <c r="B10" s="3"/>
      <c r="C10" s="3"/>
      <c r="D10" s="3"/>
      <c r="E10" s="3"/>
      <c r="F10" s="3"/>
      <c r="G10" s="3"/>
    </row>
  </sheetData>
  <phoneticPr fontId="3" type="noConversion"/>
  <dataValidations count="4">
    <dataValidation type="list" allowBlank="1" showInputMessage="1" showErrorMessage="1" sqref="C3:C9">
      <formula1>OFFSET(INDIRECT(B3&amp;"!$B$2"),,,SUMPRODUCT(N(LEN(INDIRECT(B3&amp;"!$B$2:$B$500"))&gt;0)),)</formula1>
    </dataValidation>
    <dataValidation type="list" allowBlank="1" showInputMessage="1" showErrorMessage="1" sqref="B3:B9">
      <formula1>页面列表</formula1>
    </dataValidation>
    <dataValidation type="list" allowBlank="1" showInputMessage="1" showErrorMessage="1" sqref="D1 F1">
      <formula1>"运行,忽略"</formula1>
    </dataValidation>
    <dataValidation type="list" allowBlank="1" showInputMessage="1" showErrorMessage="1" sqref="F3:F9 D3:D9">
      <formula1>操作列表</formula1>
    </dataValidation>
  </dataValidations>
  <pageMargins left="0.7" right="0.7" top="0.75" bottom="0.75" header="0.3" footer="0.3"/>
  <pageSetup paperSize="9" orientation="portrait" r:id="rId1"/>
  <legacyDrawing r:id="rId2"/>
  <controls>
    <control shapeId="9217" r:id="rId3" name="Button1"/>
    <control shapeId="9218" r:id="rId4" name="Button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>
    <tabColor theme="1"/>
  </sheetPr>
  <dimension ref="A1:D3"/>
  <sheetViews>
    <sheetView workbookViewId="0">
      <selection activeCell="D37" sqref="D37"/>
    </sheetView>
  </sheetViews>
  <sheetFormatPr defaultRowHeight="13.5"/>
  <cols>
    <col min="1" max="1" width="9" style="2"/>
    <col min="2" max="2" width="16.375" style="2" bestFit="1" customWidth="1"/>
    <col min="3" max="3" width="51.625" style="2" bestFit="1" customWidth="1"/>
    <col min="4" max="16384" width="9" style="2"/>
  </cols>
  <sheetData>
    <row r="1" spans="1:4">
      <c r="A1" s="20" t="s">
        <v>2</v>
      </c>
      <c r="B1" s="20" t="s">
        <v>0</v>
      </c>
      <c r="C1" s="20" t="s">
        <v>1</v>
      </c>
      <c r="D1" s="20" t="s">
        <v>5</v>
      </c>
    </row>
    <row r="2" spans="1:4">
      <c r="A2" s="3">
        <v>1</v>
      </c>
      <c r="B2" s="3" t="s">
        <v>51</v>
      </c>
      <c r="C2" s="3" t="s">
        <v>52</v>
      </c>
      <c r="D2" s="3" t="s">
        <v>53</v>
      </c>
    </row>
    <row r="3" spans="1:4">
      <c r="A3" s="3"/>
      <c r="B3" s="3"/>
      <c r="C3" s="3"/>
      <c r="D3" s="3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>
    <tabColor theme="1"/>
  </sheetPr>
  <dimension ref="A1:F4"/>
  <sheetViews>
    <sheetView tabSelected="1" workbookViewId="0">
      <selection activeCell="D20" sqref="D20"/>
    </sheetView>
  </sheetViews>
  <sheetFormatPr defaultRowHeight="13.5"/>
  <cols>
    <col min="1" max="1" width="16.25" style="2" bestFit="1" customWidth="1"/>
    <col min="2" max="2" width="18.75" style="2" customWidth="1"/>
    <col min="3" max="3" width="21.375" style="2" bestFit="1" customWidth="1"/>
    <col min="4" max="4" width="23.875" style="2" bestFit="1" customWidth="1"/>
    <col min="5" max="5" width="25.5" style="2" bestFit="1" customWidth="1"/>
    <col min="6" max="6" width="16" style="2" customWidth="1"/>
    <col min="7" max="16384" width="9" style="2"/>
  </cols>
  <sheetData>
    <row r="1" spans="1:6">
      <c r="A1" s="16" t="s">
        <v>47</v>
      </c>
      <c r="B1" s="15">
        <f>MATCH("@END@",A:A,0)-3</f>
        <v>1</v>
      </c>
      <c r="C1" s="15">
        <f>(MATCH("@END@",$A$2:$ZS$2,0)-4)/2</f>
        <v>1</v>
      </c>
      <c r="D1" s="26" t="s">
        <v>6</v>
      </c>
      <c r="E1" s="7" t="s">
        <v>48</v>
      </c>
      <c r="F1" s="3"/>
    </row>
    <row r="2" spans="1:6" s="21" customFormat="1" ht="20.25">
      <c r="A2" s="23" t="s">
        <v>59</v>
      </c>
      <c r="B2" s="23" t="s">
        <v>64</v>
      </c>
      <c r="C2" s="23" t="s">
        <v>60</v>
      </c>
      <c r="D2" s="24" t="s">
        <v>61</v>
      </c>
      <c r="E2" s="24" t="s">
        <v>62</v>
      </c>
      <c r="F2" s="25" t="s">
        <v>63</v>
      </c>
    </row>
    <row r="3" spans="1:6">
      <c r="A3" s="14">
        <v>1</v>
      </c>
      <c r="B3" s="3" t="s">
        <v>49</v>
      </c>
      <c r="C3" s="3" t="s">
        <v>50</v>
      </c>
      <c r="D3" s="3" t="s">
        <v>54</v>
      </c>
      <c r="E3" s="3" t="s">
        <v>65</v>
      </c>
    </row>
    <row r="4" spans="1:6" ht="21.75" customHeight="1">
      <c r="A4" s="22" t="s">
        <v>7</v>
      </c>
      <c r="B4" s="3"/>
      <c r="C4" s="3"/>
      <c r="D4" s="3"/>
      <c r="E4" s="3"/>
    </row>
  </sheetData>
  <phoneticPr fontId="3" type="noConversion"/>
  <dataValidations count="4">
    <dataValidation type="list" allowBlank="1" showInputMessage="1" showErrorMessage="1" sqref="C3">
      <formula1>OFFSET(INDIRECT(B3&amp;"!$B$2"),,,SUMPRODUCT(N(LEN(INDIRECT(B3&amp;"!$B$2:$B$500"))&gt;0)),)</formula1>
    </dataValidation>
    <dataValidation type="list" allowBlank="1" showInputMessage="1" showErrorMessage="1" sqref="D3">
      <formula1>操作列表</formula1>
    </dataValidation>
    <dataValidation type="list" allowBlank="1" showInputMessage="1" showErrorMessage="1" sqref="D1">
      <formula1>"运行,忽略"</formula1>
    </dataValidation>
    <dataValidation type="list" allowBlank="1" showInputMessage="1" showErrorMessage="1" sqref="B3">
      <formula1>页面列表</formula1>
    </dataValidation>
  </dataValidations>
  <pageMargins left="0.7" right="0.7" top="0.75" bottom="0.75" header="0.3" footer="0.3"/>
  <pageSetup paperSize="9" orientation="portrait" r:id="rId1"/>
  <legacyDrawing r:id="rId2"/>
  <controls>
    <control shapeId="6157" r:id="rId3" name="Button1"/>
    <control shapeId="6160" r:id="rId4" name="Button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配置</vt:lpstr>
      <vt:lpstr>PAGE_登录页面</vt:lpstr>
      <vt:lpstr>PAGE_公共元素</vt:lpstr>
      <vt:lpstr>CASE_登录必填检查</vt:lpstr>
      <vt:lpstr>CASE_登录功能检查</vt:lpstr>
      <vt:lpstr>PAGE_模板</vt:lpstr>
      <vt:lpstr>CASE_模板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2016-10-08T09:19:17Z</dcterms:modified>
</cp:coreProperties>
</file>